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thlim/Desktop/"/>
    </mc:Choice>
  </mc:AlternateContent>
  <xr:revisionPtr revIDLastSave="0" documentId="13_ncr:1_{B7CD7CFE-8525-5343-90F3-60F00AFAD771}" xr6:coauthVersionLast="47" xr6:coauthVersionMax="47" xr10:uidLastSave="{00000000-0000-0000-0000-000000000000}"/>
  <bookViews>
    <workbookView xWindow="0" yWindow="760" windowWidth="30240" windowHeight="18880" xr2:uid="{1734F7A2-2942-7740-B792-9A74FCBE52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3" i="1" l="1"/>
  <c r="F123" i="1"/>
  <c r="E123" i="1"/>
  <c r="G122" i="1"/>
  <c r="F122" i="1"/>
  <c r="E122" i="1"/>
  <c r="G121" i="1"/>
  <c r="F121" i="1"/>
  <c r="E121" i="1"/>
  <c r="G120" i="1"/>
  <c r="F120" i="1"/>
  <c r="E120" i="1"/>
  <c r="H116" i="1"/>
  <c r="G116" i="1"/>
  <c r="F116" i="1"/>
  <c r="E116" i="1"/>
  <c r="H115" i="1"/>
  <c r="G115" i="1"/>
  <c r="F115" i="1"/>
  <c r="E115" i="1"/>
  <c r="H114" i="1"/>
  <c r="G114" i="1"/>
  <c r="F114" i="1"/>
  <c r="E114" i="1"/>
  <c r="H111" i="1"/>
  <c r="G111" i="1"/>
  <c r="H110" i="1"/>
  <c r="G110" i="1"/>
  <c r="H109" i="1"/>
  <c r="G109" i="1"/>
  <c r="E106" i="1"/>
  <c r="E101" i="1"/>
  <c r="E100" i="1"/>
  <c r="E5" i="1"/>
  <c r="E4" i="1"/>
  <c r="G92" i="1"/>
  <c r="F92" i="1"/>
  <c r="E92" i="1"/>
  <c r="G90" i="1"/>
  <c r="F90" i="1"/>
  <c r="E90" i="1"/>
  <c r="G89" i="1"/>
  <c r="F89" i="1"/>
  <c r="E89" i="1"/>
  <c r="G88" i="1"/>
  <c r="F88" i="1"/>
  <c r="E88" i="1"/>
  <c r="G87" i="1"/>
  <c r="F87" i="1"/>
  <c r="E87" i="1"/>
  <c r="E83" i="1"/>
  <c r="H62" i="1"/>
  <c r="H61" i="1"/>
  <c r="H60" i="1"/>
  <c r="H51" i="1"/>
  <c r="G51" i="1"/>
  <c r="F51" i="1"/>
  <c r="E51" i="1"/>
  <c r="H50" i="1"/>
  <c r="G50" i="1"/>
  <c r="F50" i="1"/>
  <c r="E50" i="1"/>
  <c r="H49" i="1"/>
  <c r="G49" i="1"/>
  <c r="F49" i="1"/>
  <c r="E49" i="1"/>
  <c r="H46" i="1"/>
  <c r="G46" i="1"/>
  <c r="H45" i="1"/>
  <c r="G45" i="1"/>
  <c r="H44" i="1"/>
  <c r="G44" i="1"/>
  <c r="E41" i="1"/>
  <c r="E40" i="1"/>
  <c r="H30" i="1"/>
  <c r="H28" i="1"/>
  <c r="H27" i="1"/>
  <c r="H26" i="1"/>
  <c r="G28" i="1"/>
  <c r="F28" i="1"/>
  <c r="G27" i="1"/>
  <c r="F27" i="1"/>
  <c r="G26" i="1"/>
  <c r="F26" i="1"/>
  <c r="E23" i="1"/>
  <c r="E19" i="1"/>
  <c r="B46" i="1"/>
  <c r="B45" i="1"/>
  <c r="B44" i="1"/>
  <c r="B43" i="1"/>
  <c r="B30" i="1"/>
  <c r="B29" i="1"/>
  <c r="B28" i="1"/>
  <c r="B81" i="1"/>
  <c r="B82" i="1" s="1"/>
  <c r="B79" i="1"/>
  <c r="B69" i="1"/>
  <c r="B68" i="1"/>
  <c r="B70" i="1" s="1"/>
  <c r="B66" i="1"/>
  <c r="B53" i="1"/>
  <c r="B73" i="1" l="1"/>
  <c r="B71" i="1"/>
  <c r="B72" i="1" s="1"/>
  <c r="B83" i="1"/>
  <c r="B86" i="1" s="1"/>
  <c r="B60" i="1" l="1"/>
  <c r="B74" i="1"/>
  <c r="B58" i="1"/>
  <c r="B61" i="1" s="1"/>
  <c r="B84" i="1"/>
  <c r="B85" i="1" s="1"/>
  <c r="B87" i="1" s="1"/>
</calcChain>
</file>

<file path=xl/sharedStrings.xml><?xml version="1.0" encoding="utf-8"?>
<sst xmlns="http://schemas.openxmlformats.org/spreadsheetml/2006/main" count="238" uniqueCount="180">
  <si>
    <t>ASSUMPTIONS</t>
  </si>
  <si>
    <t>SaaS Revenue Model</t>
  </si>
  <si>
    <t>Currency &amp; FX</t>
  </si>
  <si>
    <t>USD to SGD Exchange Rate</t>
  </si>
  <si>
    <t>Pricing Tiers (SGD/month)</t>
  </si>
  <si>
    <t>Growth Tier</t>
  </si>
  <si>
    <t>Scale Tier</t>
  </si>
  <si>
    <t>Enterprise Tier</t>
  </si>
  <si>
    <t>Tier Quotas</t>
  </si>
  <si>
    <t>Growth - Pages/mo</t>
  </si>
  <si>
    <t>Growth - Tokens/mo</t>
  </si>
  <si>
    <t>Scale - Pages/mo</t>
  </si>
  <si>
    <t>Scale - Tokens/mo</t>
  </si>
  <si>
    <t>Cost Basis (USD)</t>
  </si>
  <si>
    <t>ExtendAI Cost/Page (Starter)</t>
  </si>
  <si>
    <t>ExtendAI Cost/Page (Volume)</t>
  </si>
  <si>
    <t>Claude Cost/3M Weighted Tokens</t>
  </si>
  <si>
    <t>Claude Cost/10M Weighted Tokens</t>
  </si>
  <si>
    <t>Growth Tier Max Cost</t>
  </si>
  <si>
    <t>Scale Tier Max Cost</t>
  </si>
  <si>
    <t>Operating Assumptions</t>
  </si>
  <si>
    <t>Avg Utilization %</t>
  </si>
  <si>
    <t>Monthly Churn %</t>
  </si>
  <si>
    <t>Customer Mix</t>
  </si>
  <si>
    <t>% Growth Tier</t>
  </si>
  <si>
    <t>% Scale Tier</t>
  </si>
  <si>
    <t>% Enterprise Tier</t>
  </si>
  <si>
    <t>Starting Clients (Month 1)</t>
  </si>
  <si>
    <t>Month</t>
  </si>
  <si>
    <t>New Clients</t>
  </si>
  <si>
    <t>Churned Clients</t>
  </si>
  <si>
    <t>Total Clients</t>
  </si>
  <si>
    <t>Growth Tier Clients</t>
  </si>
  <si>
    <t>Scale Tier Clients</t>
  </si>
  <si>
    <t>Enterprise Tier Clients</t>
  </si>
  <si>
    <t>MRR (SGD)</t>
  </si>
  <si>
    <t>Variable Costs (SGD)</t>
  </si>
  <si>
    <t>Gross Profit (SGD)</t>
  </si>
  <si>
    <t>BASE CASE SCENARIO</t>
  </si>
  <si>
    <t>AGGRESSIVE SCENARIO</t>
  </si>
  <si>
    <t>Sonnet - Input $/MTok</t>
  </si>
  <si>
    <t>Sonnet - Output $/MTok</t>
  </si>
  <si>
    <t>Opus - Input $/MTok</t>
  </si>
  <si>
    <t>Opus - Output $/MTok</t>
  </si>
  <si>
    <t>Excel generations per page</t>
  </si>
  <si>
    <t>Cost per Excel (Sonnet)</t>
  </si>
  <si>
    <t>Cost per Excel (Opus)</t>
  </si>
  <si>
    <t>Blended cost per Excel</t>
  </si>
  <si>
    <t>Starter Tier</t>
  </si>
  <si>
    <t>Starter - Pages/mo</t>
  </si>
  <si>
    <t>Starter - Tokens/mo</t>
  </si>
  <si>
    <t>Derived Max Costs (USD)</t>
  </si>
  <si>
    <t>Starter Tier Max Cost</t>
  </si>
  <si>
    <t>Claude API Pricing (USD)</t>
  </si>
  <si>
    <t>% Users on Opus</t>
  </si>
  <si>
    <t>Excel Generation Assumptions</t>
  </si>
  <si>
    <t>Avg input tokens per Excel</t>
  </si>
  <si>
    <t>Avg output tokens per Excel</t>
  </si>
  <si>
    <t>Claude cost per page</t>
  </si>
  <si>
    <t>Volume Discount Threshold</t>
  </si>
  <si>
    <t>% Starter Tier</t>
  </si>
  <si>
    <t>Tier</t>
  </si>
  <si>
    <t>Price (SGD)</t>
  </si>
  <si>
    <t>Gross Margin</t>
  </si>
  <si>
    <t>Starter</t>
  </si>
  <si>
    <t>Growth</t>
  </si>
  <si>
    <t>Scale</t>
  </si>
  <si>
    <t>Enterprise</t>
  </si>
  <si>
    <t>Custom</t>
  </si>
  <si>
    <t>Blended ARPU (SGD)</t>
  </si>
  <si>
    <t>Pages/mo</t>
  </si>
  <si>
    <t>Excels/mo</t>
  </si>
  <si>
    <t>ExtendAI $</t>
  </si>
  <si>
    <t>Claude $</t>
  </si>
  <si>
    <t>Margin</t>
  </si>
  <si>
    <t>MARGIN ANALYSIS</t>
  </si>
  <si>
    <t>80%+</t>
  </si>
  <si>
    <t>KEY INSIGHT:</t>
  </si>
  <si>
    <t>PROJECTED P&amp;L (Year 1)</t>
  </si>
  <si>
    <t>Assumptions</t>
  </si>
  <si>
    <t>Value</t>
  </si>
  <si>
    <t>Starting clients</t>
  </si>
  <si>
    <t>New clients/month</t>
  </si>
  <si>
    <t>Monthly churn</t>
  </si>
  <si>
    <t>Avg utilization</t>
  </si>
  <si>
    <t>Monthly Gross Profit</t>
  </si>
  <si>
    <t>CLAUDE API TOKEN ASSUMPTIONS</t>
  </si>
  <si>
    <t>Your Test Data (Simple Excel)</t>
  </si>
  <si>
    <t>Input tokens (actual)</t>
  </si>
  <si>
    <t>tokens</t>
  </si>
  <si>
    <t>Output tokens (actual)</t>
  </si>
  <si>
    <t>Cost (simple Excel)</t>
  </si>
  <si>
    <t>USD</t>
  </si>
  <si>
    <t>Buffered Scenarios</t>
  </si>
  <si>
    <t>Multiplier</t>
  </si>
  <si>
    <t>Input Tok</t>
  </si>
  <si>
    <t>Output Tok</t>
  </si>
  <si>
    <t>Cost/Excel</t>
  </si>
  <si>
    <t>Simple (your test)</t>
  </si>
  <si>
    <t>1x</t>
  </si>
  <si>
    <t>Medium complexity</t>
  </si>
  <si>
    <t>2x</t>
  </si>
  <si>
    <t>Complex (financial models)</t>
  </si>
  <si>
    <t>3x</t>
  </si>
  <si>
    <t>ASSUMED AVG COST PER EXCEL</t>
  </si>
  <si>
    <t>2x buffer</t>
  </si>
  <si>
    <t>Why 2x buffer?</t>
  </si>
  <si>
    <t>• Your test was a simple Excel</t>
  </si>
  <si>
    <t>• Multi-turn conversations add tokens</t>
  </si>
  <si>
    <t>• Safety margin for pricing stability</t>
  </si>
  <si>
    <t>COST MODEL (Using 2x Buffer)</t>
  </si>
  <si>
    <t>Cost per page (ExtendAI)</t>
  </si>
  <si>
    <t>Cost per Excel (Claude 2x)</t>
  </si>
  <si>
    <t>← Using 2x buffer</t>
  </si>
  <si>
    <t>TIER COST BREAKDOWN</t>
  </si>
  <si>
    <t>Pages</t>
  </si>
  <si>
    <t>Excels</t>
  </si>
  <si>
    <t>Total $ USD</t>
  </si>
  <si>
    <t>Cost SGD</t>
  </si>
  <si>
    <t>Price SGD</t>
  </si>
  <si>
    <t>FINAL PRICING RECOMMENDATION</t>
  </si>
  <si>
    <t>(With 2x token buffer for complex Excels)</t>
  </si>
  <si>
    <t>$5,000+</t>
  </si>
  <si>
    <t>WHAT USERS GET:</t>
  </si>
  <si>
    <t>+</t>
  </si>
  <si>
    <t>15 Excel reports</t>
  </si>
  <si>
    <t>25 docs</t>
  </si>
  <si>
    <t>0.6 Excel/doc</t>
  </si>
  <si>
    <t>150 docs</t>
  </si>
  <si>
    <t>50 Excel reports</t>
  </si>
  <si>
    <t>0.3 Excel/doc</t>
  </si>
  <si>
    <t>500 docs</t>
  </si>
  <si>
    <t>150 Excel reports</t>
  </si>
  <si>
    <t>KEY MESSAGE:</t>
  </si>
  <si>
    <t>Users batch docs into reports.</t>
  </si>
  <si>
    <t>1 Excel = multiple doc analysis.</t>
  </si>
  <si>
    <t>EXECUTIVE SUMMARY</t>
  </si>
  <si>
    <t>TWO COST DRIVERS:</t>
  </si>
  <si>
    <t>1. ExtendAI (per page)</t>
  </si>
  <si>
    <t>2. Claude API (per Excel)</t>
  </si>
  <si>
    <t>USD (2x buffer)</t>
  </si>
  <si>
    <t>FINAL PRICING:</t>
  </si>
  <si>
    <t>Price</t>
  </si>
  <si>
    <t>Must limit BOTH pages AND Excels!</t>
  </si>
  <si>
    <t>Claude is 127x more costly than ExtendAI</t>
  </si>
  <si>
    <t>Base Case: 4 new clients/mo, 5% churn, 60% utilization</t>
  </si>
  <si>
    <t>(30/50/15/5% mix)</t>
  </si>
  <si>
    <t>Month 6</t>
  </si>
  <si>
    <t>Month 12</t>
  </si>
  <si>
    <t>Month 24</t>
  </si>
  <si>
    <t>Monthly Costs (60% util)</t>
  </si>
  <si>
    <t>ARR (SGD)</t>
  </si>
  <si>
    <t>BREAK-EVEN:</t>
  </si>
  <si>
    <t>1 Growth client covers all infra costs ($75 SGD)</t>
  </si>
  <si>
    <t>Target: 70%+ gross margin</t>
  </si>
  <si>
    <t>• Real usage includes complex financial models</t>
  </si>
  <si>
    <t>BEAR CASE: Forced to Use Opus</t>
  </si>
  <si>
    <t>What if Sonnet can't handle complex Excel generation?</t>
  </si>
  <si>
    <t>OPUS API PRICING</t>
  </si>
  <si>
    <t>Opus Input $/MTok</t>
  </si>
  <si>
    <t>(vs Sonnet $3)</t>
  </si>
  <si>
    <t>Opus Output $/MTok</t>
  </si>
  <si>
    <t>(vs Sonnet $15)</t>
  </si>
  <si>
    <t>OPUS COST PER EXCEL (2x buffer)</t>
  </si>
  <si>
    <t>Input tokens (2x)</t>
  </si>
  <si>
    <t>Output tokens (2x)</t>
  </si>
  <si>
    <t>Opus cost per Excel</t>
  </si>
  <si>
    <t>(vs Sonnet $1.27)</t>
  </si>
  <si>
    <t>OPUS TIER COSTS</t>
  </si>
  <si>
    <t>OPUS MARGINS</t>
  </si>
  <si>
    <t>Profit SGD</t>
  </si>
  <si>
    <t>COMPARISON: Sonnet vs Opus</t>
  </si>
  <si>
    <t>Sonnet</t>
  </si>
  <si>
    <t>Opus</t>
  </si>
  <si>
    <t>Difference</t>
  </si>
  <si>
    <t>Cost per Excel</t>
  </si>
  <si>
    <t>more expensive</t>
  </si>
  <si>
    <t>Starter Margin</t>
  </si>
  <si>
    <t>Growth Margin</t>
  </si>
  <si>
    <t>Scale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</si>
</sst>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164" formatCode="&quot;$&quot;#,##0"/>
    <numFmt numFmtId="165" formatCode="&quot;$&quot;0.000"/>
    <numFmt numFmtId="167" formatCode="&quot;$&quot;#,##0.00"/>
    <numFmt numFmtId="168" formatCode="0.0%"/>
    <numFmt numFmtId="169" formatCode="0.0"/>
    <numFmt numFmtId="170" formatCode="&quot;$&quot;0.00"/>
    <numFmt numFmtId="172" formatCode="0.0\x"/>
    <numFmt numFmtId="173" formatCode="\+0%;\-0%"/>
  </numFmts>
  <fonts count="1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2"/>
      <color rgb="FF666666"/>
      <name val="Calibri"/>
      <family val="2"/>
      <scheme val="minor"/>
    </font>
    <font>
      <i/>
      <sz val="12"/>
      <color rgb="FF666666"/>
      <name val="Calibri"/>
      <family val="2"/>
      <scheme val="minor"/>
    </font>
    <font>
      <b/>
      <i/>
      <sz val="14"/>
      <color rgb="FFFFFFFF"/>
      <name val="Calibri"/>
      <family val="2"/>
      <scheme val="minor"/>
    </font>
    <font>
      <b/>
      <sz val="12"/>
      <color rgb="FF0000FF"/>
      <name val="Calibri"/>
      <family val="2"/>
      <scheme val="minor"/>
    </font>
    <font>
      <i/>
      <sz val="12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i/>
      <sz val="12"/>
      <color rgb="FF666666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BDD7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2" fontId="5" fillId="0" borderId="0" xfId="0" applyNumberFormat="1" applyFont="1"/>
    <xf numFmtId="164" fontId="5" fillId="0" borderId="0" xfId="0" applyNumberFormat="1" applyFont="1"/>
    <xf numFmtId="3" fontId="5" fillId="0" borderId="0" xfId="0" applyNumberFormat="1" applyFont="1"/>
    <xf numFmtId="165" fontId="5" fillId="0" borderId="0" xfId="0" applyNumberFormat="1" applyFont="1"/>
    <xf numFmtId="164" fontId="0" fillId="0" borderId="0" xfId="0" applyNumberFormat="1"/>
    <xf numFmtId="9" fontId="5" fillId="0" borderId="0" xfId="0" applyNumberFormat="1" applyFont="1"/>
    <xf numFmtId="0" fontId="6" fillId="0" borderId="0" xfId="0" applyFont="1"/>
    <xf numFmtId="0" fontId="7" fillId="2" borderId="0" xfId="0" applyFont="1" applyFill="1"/>
    <xf numFmtId="0" fontId="8" fillId="3" borderId="0" xfId="0" applyFont="1" applyFill="1"/>
    <xf numFmtId="0" fontId="0" fillId="3" borderId="0" xfId="0" applyFill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3" fontId="0" fillId="0" borderId="0" xfId="0" applyNumberFormat="1"/>
    <xf numFmtId="164" fontId="1" fillId="0" borderId="0" xfId="0" applyNumberFormat="1" applyFont="1"/>
    <xf numFmtId="167" fontId="0" fillId="0" borderId="0" xfId="0" applyNumberFormat="1"/>
    <xf numFmtId="0" fontId="1" fillId="5" borderId="0" xfId="0" applyFont="1" applyFill="1"/>
    <xf numFmtId="0" fontId="8" fillId="6" borderId="0" xfId="0" applyFont="1" applyFill="1"/>
    <xf numFmtId="0" fontId="0" fillId="6" borderId="0" xfId="0" applyFill="1"/>
    <xf numFmtId="0" fontId="1" fillId="7" borderId="0" xfId="0" applyFont="1" applyFill="1"/>
    <xf numFmtId="0" fontId="8" fillId="8" borderId="0" xfId="0" applyFont="1" applyFill="1"/>
    <xf numFmtId="0" fontId="0" fillId="8" borderId="0" xfId="0" applyFill="1"/>
    <xf numFmtId="0" fontId="0" fillId="4" borderId="0" xfId="0" applyFill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9" fontId="5" fillId="0" borderId="0" xfId="0" applyNumberFormat="1" applyFont="1"/>
    <xf numFmtId="0" fontId="9" fillId="0" borderId="0" xfId="0" applyFont="1"/>
    <xf numFmtId="0" fontId="10" fillId="0" borderId="0" xfId="0" applyFont="1"/>
    <xf numFmtId="165" fontId="0" fillId="0" borderId="0" xfId="0" applyNumberFormat="1"/>
    <xf numFmtId="165" fontId="1" fillId="0" borderId="0" xfId="0" applyNumberFormat="1" applyFont="1"/>
    <xf numFmtId="167" fontId="5" fillId="0" borderId="0" xfId="0" applyNumberFormat="1" applyFont="1"/>
    <xf numFmtId="0" fontId="11" fillId="2" borderId="0" xfId="0" applyFont="1" applyFill="1"/>
    <xf numFmtId="3" fontId="5" fillId="3" borderId="0" xfId="0" applyNumberFormat="1" applyFont="1" applyFill="1"/>
    <xf numFmtId="3" fontId="12" fillId="0" borderId="0" xfId="0" applyNumberFormat="1" applyFont="1"/>
    <xf numFmtId="167" fontId="0" fillId="0" borderId="0" xfId="0" applyNumberFormat="1" applyAlignment="1">
      <alignment horizontal="center"/>
    </xf>
    <xf numFmtId="168" fontId="1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168" fontId="1" fillId="5" borderId="0" xfId="0" applyNumberFormat="1" applyFont="1" applyFill="1" applyAlignment="1">
      <alignment horizontal="center"/>
    </xf>
    <xf numFmtId="0" fontId="7" fillId="8" borderId="0" xfId="0" applyFont="1" applyFill="1"/>
    <xf numFmtId="170" fontId="1" fillId="0" borderId="0" xfId="0" applyNumberFormat="1" applyFont="1"/>
    <xf numFmtId="0" fontId="5" fillId="0" borderId="0" xfId="0" applyFont="1" applyAlignment="1">
      <alignment horizontal="center"/>
    </xf>
    <xf numFmtId="3" fontId="5" fillId="0" borderId="0" xfId="0" applyNumberFormat="1" applyFont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5" fillId="5" borderId="0" xfId="0" applyFont="1" applyFill="1"/>
    <xf numFmtId="164" fontId="0" fillId="5" borderId="0" xfId="0" applyNumberFormat="1" applyFill="1" applyAlignment="1">
      <alignment horizontal="center"/>
    </xf>
    <xf numFmtId="0" fontId="7" fillId="3" borderId="0" xfId="0" applyFont="1" applyFill="1"/>
    <xf numFmtId="164" fontId="5" fillId="0" borderId="0" xfId="0" applyNumberFormat="1" applyFont="1" applyAlignment="1">
      <alignment horizontal="center"/>
    </xf>
    <xf numFmtId="0" fontId="1" fillId="9" borderId="0" xfId="0" applyFont="1" applyFill="1" applyAlignment="1">
      <alignment horizontal="center"/>
    </xf>
    <xf numFmtId="9" fontId="1" fillId="9" borderId="0" xfId="0" applyNumberFormat="1" applyFont="1" applyFill="1" applyAlignment="1">
      <alignment horizontal="center"/>
    </xf>
    <xf numFmtId="0" fontId="1" fillId="10" borderId="0" xfId="0" applyFont="1" applyFill="1"/>
    <xf numFmtId="0" fontId="0" fillId="10" borderId="0" xfId="0" applyFill="1"/>
    <xf numFmtId="9" fontId="5" fillId="0" borderId="0" xfId="0" applyNumberFormat="1" applyFont="1" applyAlignment="1">
      <alignment horizontal="center"/>
    </xf>
    <xf numFmtId="164" fontId="1" fillId="9" borderId="0" xfId="0" applyNumberFormat="1" applyFont="1" applyFill="1" applyAlignment="1">
      <alignment horizontal="center"/>
    </xf>
    <xf numFmtId="0" fontId="0" fillId="9" borderId="0" xfId="0" applyFill="1"/>
    <xf numFmtId="0" fontId="2" fillId="8" borderId="0" xfId="0" applyFont="1" applyFill="1"/>
    <xf numFmtId="3" fontId="0" fillId="0" borderId="0" xfId="0" applyNumberFormat="1" applyAlignment="1">
      <alignment horizontal="right"/>
    </xf>
    <xf numFmtId="3" fontId="5" fillId="0" borderId="0" xfId="0" applyNumberFormat="1" applyFont="1" applyAlignment="1">
      <alignment horizontal="right"/>
    </xf>
    <xf numFmtId="170" fontId="12" fillId="0" borderId="0" xfId="0" applyNumberFormat="1" applyFont="1" applyAlignment="1">
      <alignment horizontal="right"/>
    </xf>
    <xf numFmtId="3" fontId="1" fillId="5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170" fontId="1" fillId="5" borderId="0" xfId="0" applyNumberFormat="1" applyFont="1" applyFill="1" applyAlignment="1">
      <alignment horizontal="center"/>
    </xf>
    <xf numFmtId="0" fontId="0" fillId="7" borderId="0" xfId="0" applyFill="1"/>
    <xf numFmtId="3" fontId="0" fillId="7" borderId="0" xfId="0" applyNumberFormat="1" applyFill="1" applyAlignment="1">
      <alignment horizontal="center"/>
    </xf>
    <xf numFmtId="3" fontId="5" fillId="7" borderId="0" xfId="0" applyNumberFormat="1" applyFont="1" applyFill="1" applyAlignment="1">
      <alignment horizontal="center"/>
    </xf>
    <xf numFmtId="170" fontId="1" fillId="7" borderId="0" xfId="0" applyNumberFormat="1" applyFont="1" applyFill="1" applyAlignment="1">
      <alignment horizontal="center"/>
    </xf>
    <xf numFmtId="0" fontId="0" fillId="11" borderId="0" xfId="0" applyFill="1"/>
    <xf numFmtId="3" fontId="0" fillId="11" borderId="0" xfId="0" applyNumberFormat="1" applyFill="1" applyAlignment="1">
      <alignment horizontal="center"/>
    </xf>
    <xf numFmtId="3" fontId="5" fillId="11" borderId="0" xfId="0" applyNumberFormat="1" applyFont="1" applyFill="1" applyAlignment="1">
      <alignment horizontal="center"/>
    </xf>
    <xf numFmtId="170" fontId="1" fillId="11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170" fontId="1" fillId="4" borderId="0" xfId="0" applyNumberFormat="1" applyFont="1" applyFill="1" applyAlignment="1">
      <alignment horizontal="center"/>
    </xf>
    <xf numFmtId="0" fontId="4" fillId="4" borderId="0" xfId="0" applyFont="1" applyFill="1"/>
    <xf numFmtId="0" fontId="13" fillId="5" borderId="0" xfId="0" applyFont="1" applyFill="1" applyAlignment="1">
      <alignment horizontal="center"/>
    </xf>
    <xf numFmtId="0" fontId="12" fillId="4" borderId="0" xfId="0" applyFont="1" applyFill="1"/>
    <xf numFmtId="167" fontId="1" fillId="4" borderId="0" xfId="0" applyNumberFormat="1" applyFont="1" applyFill="1" applyAlignment="1">
      <alignment horizontal="center"/>
    </xf>
    <xf numFmtId="168" fontId="1" fillId="4" borderId="0" xfId="0" applyNumberFormat="1" applyFont="1" applyFill="1" applyAlignment="1">
      <alignment horizontal="center"/>
    </xf>
    <xf numFmtId="167" fontId="5" fillId="0" borderId="0" xfId="0" applyNumberFormat="1" applyFont="1" applyAlignment="1">
      <alignment horizontal="center"/>
    </xf>
    <xf numFmtId="3" fontId="12" fillId="0" borderId="0" xfId="0" applyNumberFormat="1" applyFont="1" applyAlignment="1">
      <alignment horizontal="center"/>
    </xf>
    <xf numFmtId="6" fontId="0" fillId="0" borderId="0" xfId="0" applyNumberFormat="1" applyAlignment="1">
      <alignment horizontal="center"/>
    </xf>
    <xf numFmtId="0" fontId="5" fillId="4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6" fillId="9" borderId="0" xfId="0" applyNumberFormat="1" applyFont="1" applyFill="1" applyAlignment="1">
      <alignment horizontal="center"/>
    </xf>
    <xf numFmtId="164" fontId="0" fillId="9" borderId="0" xfId="0" applyNumberFormat="1" applyFill="1" applyAlignment="1">
      <alignment horizontal="center"/>
    </xf>
    <xf numFmtId="9" fontId="1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164" fontId="1" fillId="12" borderId="0" xfId="0" applyNumberFormat="1" applyFont="1" applyFill="1" applyAlignment="1">
      <alignment horizontal="center"/>
    </xf>
    <xf numFmtId="170" fontId="14" fillId="0" borderId="0" xfId="0" applyNumberFormat="1" applyFont="1"/>
    <xf numFmtId="0" fontId="4" fillId="9" borderId="0" xfId="0" applyFont="1" applyFill="1" applyAlignment="1">
      <alignment horizontal="center"/>
    </xf>
    <xf numFmtId="0" fontId="1" fillId="11" borderId="0" xfId="0" applyFont="1" applyFill="1"/>
    <xf numFmtId="0" fontId="1" fillId="11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170" fontId="0" fillId="10" borderId="0" xfId="0" applyNumberFormat="1" applyFill="1" applyAlignment="1">
      <alignment horizontal="center"/>
    </xf>
    <xf numFmtId="172" fontId="1" fillId="10" borderId="0" xfId="0" applyNumberFormat="1" applyFont="1" applyFill="1" applyAlignment="1">
      <alignment horizontal="center"/>
    </xf>
    <xf numFmtId="9" fontId="0" fillId="10" borderId="0" xfId="0" applyNumberFormat="1" applyFill="1" applyAlignment="1">
      <alignment horizontal="center"/>
    </xf>
    <xf numFmtId="173" fontId="14" fillId="1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D2052AC-4A40-0848-8552-0F406B942335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57A5E-503A-F047-A64C-E79582798C7B}">
  <dimension ref="A1:AA123"/>
  <sheetViews>
    <sheetView tabSelected="1" topLeftCell="B56" workbookViewId="0">
      <selection activeCell="E119" sqref="E119"/>
    </sheetView>
  </sheetViews>
  <sheetFormatPr baseColWidth="10" defaultRowHeight="16" x14ac:dyDescent="0.2"/>
  <cols>
    <col min="1" max="1" width="36.83203125" customWidth="1"/>
    <col min="2" max="2" width="17.33203125" customWidth="1"/>
    <col min="3" max="3" width="10.83203125" outlineLevel="1" collapsed="1"/>
    <col min="4" max="4" width="33.33203125" customWidth="1" outlineLevel="1" collapsed="1"/>
    <col min="5" max="8" width="16.6640625" customWidth="1" outlineLevel="1" collapsed="1"/>
    <col min="9" max="16384" width="10.83203125" outlineLevel="1" collapsed="1"/>
  </cols>
  <sheetData>
    <row r="1" spans="1:27" ht="21" x14ac:dyDescent="0.25">
      <c r="A1" s="3" t="s">
        <v>1</v>
      </c>
      <c r="D1" s="14" t="s">
        <v>136</v>
      </c>
      <c r="E1" s="2"/>
      <c r="F1" s="2"/>
      <c r="G1" s="2"/>
      <c r="H1" s="2"/>
    </row>
    <row r="3" spans="1:27" x14ac:dyDescent="0.2">
      <c r="A3" s="1" t="s">
        <v>0</v>
      </c>
      <c r="B3" s="2"/>
      <c r="D3" s="4" t="s">
        <v>137</v>
      </c>
    </row>
    <row r="4" spans="1:27" x14ac:dyDescent="0.2">
      <c r="A4" s="5" t="s">
        <v>2</v>
      </c>
      <c r="D4" t="s">
        <v>138</v>
      </c>
      <c r="E4" s="36">
        <f>$B$22</f>
        <v>0.01</v>
      </c>
      <c r="F4" t="s">
        <v>92</v>
      </c>
    </row>
    <row r="5" spans="1:27" x14ac:dyDescent="0.2">
      <c r="A5" t="s">
        <v>3</v>
      </c>
      <c r="B5" s="7">
        <v>1.35</v>
      </c>
      <c r="D5" t="s">
        <v>139</v>
      </c>
      <c r="E5" s="99">
        <f>$H$30</f>
        <v>1.2675000000000001</v>
      </c>
      <c r="F5" t="s">
        <v>140</v>
      </c>
    </row>
    <row r="6" spans="1:27" x14ac:dyDescent="0.2"/>
    <row r="7" spans="1:27" customFormat="1" x14ac:dyDescent="0.2">
      <c r="A7" s="5" t="s">
        <v>4</v>
      </c>
      <c r="D7" s="4" t="s">
        <v>141</v>
      </c>
      <c r="E7" s="31" t="s">
        <v>142</v>
      </c>
      <c r="F7" s="31" t="s">
        <v>115</v>
      </c>
      <c r="G7" s="31" t="s">
        <v>116</v>
      </c>
      <c r="H7" s="31" t="s">
        <v>74</v>
      </c>
    </row>
    <row r="8" spans="1:27" customFormat="1" x14ac:dyDescent="0.2">
      <c r="A8" s="5" t="s">
        <v>48</v>
      </c>
      <c r="B8" s="8">
        <v>149</v>
      </c>
      <c r="D8" t="s">
        <v>64</v>
      </c>
      <c r="E8" s="89">
        <v>149</v>
      </c>
      <c r="F8" s="29">
        <v>500</v>
      </c>
      <c r="G8" s="31">
        <v>15</v>
      </c>
      <c r="H8" s="58">
        <v>0.78</v>
      </c>
    </row>
    <row r="9" spans="1:27" customFormat="1" x14ac:dyDescent="0.2">
      <c r="A9" t="s">
        <v>5</v>
      </c>
      <c r="B9" s="8">
        <v>499</v>
      </c>
      <c r="D9" t="s">
        <v>65</v>
      </c>
      <c r="E9" s="89">
        <v>499</v>
      </c>
      <c r="F9" s="29">
        <v>3000</v>
      </c>
      <c r="G9" s="31">
        <v>50</v>
      </c>
      <c r="H9" s="58">
        <v>0.75</v>
      </c>
    </row>
    <row r="10" spans="1:27" customFormat="1" x14ac:dyDescent="0.2">
      <c r="A10" t="s">
        <v>6</v>
      </c>
      <c r="B10" s="8">
        <v>1500</v>
      </c>
      <c r="D10" t="s">
        <v>66</v>
      </c>
      <c r="E10" s="89">
        <v>1500</v>
      </c>
      <c r="F10" s="29">
        <v>10000</v>
      </c>
      <c r="G10" s="31">
        <v>150</v>
      </c>
      <c r="H10" s="58">
        <v>0.74</v>
      </c>
    </row>
    <row r="11" spans="1:27" customFormat="1" x14ac:dyDescent="0.2">
      <c r="A11" t="s">
        <v>7</v>
      </c>
      <c r="B11" s="8">
        <v>5000</v>
      </c>
      <c r="D11" t="s">
        <v>67</v>
      </c>
      <c r="E11" s="44" t="s">
        <v>122</v>
      </c>
      <c r="F11" s="44" t="s">
        <v>68</v>
      </c>
      <c r="G11" s="44" t="s">
        <v>68</v>
      </c>
      <c r="H11" s="100" t="s">
        <v>76</v>
      </c>
    </row>
    <row r="12" spans="1:27" x14ac:dyDescent="0.2"/>
    <row r="13" spans="1:27" customFormat="1" x14ac:dyDescent="0.2">
      <c r="A13" s="5" t="s">
        <v>8</v>
      </c>
      <c r="D13" s="59" t="s">
        <v>77</v>
      </c>
      <c r="E13" s="60"/>
      <c r="F13" s="60"/>
      <c r="G13" s="60"/>
      <c r="H13" s="60"/>
    </row>
    <row r="14" spans="1:27" customFormat="1" x14ac:dyDescent="0.2">
      <c r="A14" s="5" t="s">
        <v>49</v>
      </c>
      <c r="B14" s="9">
        <v>500</v>
      </c>
      <c r="D14" s="60" t="s">
        <v>143</v>
      </c>
      <c r="E14" s="60"/>
      <c r="F14" s="60"/>
      <c r="G14" s="60"/>
      <c r="H14" s="60"/>
    </row>
    <row r="15" spans="1:27" customFormat="1" x14ac:dyDescent="0.2">
      <c r="A15" s="5" t="s">
        <v>50</v>
      </c>
      <c r="B15" s="9">
        <v>500000</v>
      </c>
      <c r="D15" s="59" t="s">
        <v>144</v>
      </c>
      <c r="E15" s="60"/>
      <c r="F15" s="60"/>
      <c r="G15" s="60"/>
      <c r="H15" s="60"/>
    </row>
    <row r="16" spans="1:27" customFormat="1" x14ac:dyDescent="0.2">
      <c r="A16" t="s">
        <v>9</v>
      </c>
      <c r="B16" s="9">
        <v>3000</v>
      </c>
    </row>
    <row r="17" spans="1:27" customFormat="1" x14ac:dyDescent="0.2">
      <c r="A17" t="s">
        <v>10</v>
      </c>
      <c r="B17" s="9">
        <v>3000000</v>
      </c>
    </row>
    <row r="18" spans="1:27" customFormat="1" x14ac:dyDescent="0.2">
      <c r="A18" t="s">
        <v>11</v>
      </c>
      <c r="B18" s="9">
        <v>10000</v>
      </c>
      <c r="D18" s="64" t="s">
        <v>86</v>
      </c>
      <c r="E18" s="27"/>
      <c r="F18" s="27"/>
      <c r="G18" s="27"/>
      <c r="H18" s="27"/>
    </row>
    <row r="19" spans="1:27" customFormat="1" x14ac:dyDescent="0.2">
      <c r="A19" t="s">
        <v>12</v>
      </c>
      <c r="B19" s="9">
        <v>10000000</v>
      </c>
      <c r="E19" s="36">
        <f>B22</f>
        <v>0.01</v>
      </c>
    </row>
    <row r="20" spans="1:27" x14ac:dyDescent="0.2">
      <c r="D20" s="5" t="s">
        <v>87</v>
      </c>
    </row>
    <row r="21" spans="1:27" customFormat="1" x14ac:dyDescent="0.2">
      <c r="A21" s="5" t="s">
        <v>13</v>
      </c>
      <c r="D21" s="25" t="s">
        <v>88</v>
      </c>
      <c r="E21" s="65">
        <v>207000</v>
      </c>
      <c r="F21" t="s">
        <v>89</v>
      </c>
    </row>
    <row r="22" spans="1:27" customFormat="1" x14ac:dyDescent="0.2">
      <c r="A22" t="s">
        <v>14</v>
      </c>
      <c r="B22" s="10">
        <v>0.01</v>
      </c>
      <c r="D22" t="s">
        <v>90</v>
      </c>
      <c r="E22" s="66">
        <v>850</v>
      </c>
      <c r="F22" t="s">
        <v>89</v>
      </c>
    </row>
    <row r="23" spans="1:27" customFormat="1" x14ac:dyDescent="0.2">
      <c r="A23" t="s">
        <v>15</v>
      </c>
      <c r="B23" s="10">
        <v>6.0000000000000001E-3</v>
      </c>
      <c r="D23" t="s">
        <v>91</v>
      </c>
      <c r="E23" s="67">
        <f>(E21/1000000)*$B$33+(E22/1000000)*$B$34</f>
        <v>0.63375000000000004</v>
      </c>
      <c r="F23" t="s">
        <v>92</v>
      </c>
    </row>
    <row r="24" spans="1:27" customFormat="1" x14ac:dyDescent="0.2">
      <c r="A24" t="s">
        <v>16</v>
      </c>
      <c r="B24" s="8">
        <v>9</v>
      </c>
      <c r="E24" s="48"/>
    </row>
    <row r="25" spans="1:27" customFormat="1" x14ac:dyDescent="0.2">
      <c r="A25" t="s">
        <v>17</v>
      </c>
      <c r="B25" s="8">
        <v>30</v>
      </c>
      <c r="D25" s="5" t="s">
        <v>93</v>
      </c>
      <c r="E25" s="31" t="s">
        <v>94</v>
      </c>
      <c r="F25" s="31" t="s">
        <v>95</v>
      </c>
      <c r="G25" s="31" t="s">
        <v>96</v>
      </c>
      <c r="H25" s="31" t="s">
        <v>97</v>
      </c>
    </row>
    <row r="26" spans="1:27" x14ac:dyDescent="0.2">
      <c r="D26" s="22" t="s">
        <v>98</v>
      </c>
      <c r="E26" s="45" t="s">
        <v>99</v>
      </c>
      <c r="F26" s="68">
        <f>E21</f>
        <v>207000</v>
      </c>
      <c r="G26" s="68">
        <f>E22</f>
        <v>850</v>
      </c>
      <c r="H26" s="70">
        <f>(F26/1000000)*$B$33+(G26/1000000)*$B$34</f>
        <v>0.63375000000000004</v>
      </c>
    </row>
    <row r="27" spans="1:27" customFormat="1" x14ac:dyDescent="0.2">
      <c r="A27" s="5" t="s">
        <v>51</v>
      </c>
      <c r="D27" s="71" t="s">
        <v>100</v>
      </c>
      <c r="E27" s="72" t="s">
        <v>101</v>
      </c>
      <c r="F27" s="73">
        <f>E21*2</f>
        <v>414000</v>
      </c>
      <c r="G27" s="72">
        <f>E22*2</f>
        <v>1700</v>
      </c>
      <c r="H27" s="74">
        <f>(F27/1000000)*$B$33+(G27/1000000)*$B$34</f>
        <v>1.2675000000000001</v>
      </c>
    </row>
    <row r="28" spans="1:27" customFormat="1" x14ac:dyDescent="0.2">
      <c r="A28" t="s">
        <v>52</v>
      </c>
      <c r="B28" s="21">
        <f>B22*B14+B24*(B15/3000000)</f>
        <v>6.5</v>
      </c>
      <c r="D28" s="75" t="s">
        <v>102</v>
      </c>
      <c r="E28" s="76" t="s">
        <v>103</v>
      </c>
      <c r="F28" s="77">
        <f>E21*3</f>
        <v>621000</v>
      </c>
      <c r="G28" s="76">
        <f>E22*3</f>
        <v>2550</v>
      </c>
      <c r="H28" s="78">
        <f>(F28/1000000)*$B$33+(G28/1000000)*$B$34</f>
        <v>1.9012500000000001</v>
      </c>
    </row>
    <row r="29" spans="1:27" customFormat="1" x14ac:dyDescent="0.2">
      <c r="A29" s="5" t="s">
        <v>18</v>
      </c>
      <c r="B29" s="21">
        <f>B22*B16+B24</f>
        <v>39</v>
      </c>
    </row>
    <row r="30" spans="1:27" x14ac:dyDescent="0.2">
      <c r="A30" t="s">
        <v>19</v>
      </c>
      <c r="B30" s="38">
        <f>B22*B18+B25</f>
        <v>130</v>
      </c>
      <c r="D30" s="17" t="s">
        <v>104</v>
      </c>
      <c r="E30" s="79" t="s">
        <v>105</v>
      </c>
      <c r="F30" s="79"/>
      <c r="G30" s="80"/>
      <c r="H30" s="81">
        <f>H27</f>
        <v>1.2675000000000001</v>
      </c>
    </row>
    <row r="31" spans="1:27" customFormat="1" x14ac:dyDescent="0.2">
      <c r="A31" s="5"/>
      <c r="B31" s="8">
        <v>15</v>
      </c>
    </row>
    <row r="32" spans="1:27" customFormat="1" x14ac:dyDescent="0.2">
      <c r="A32" s="5" t="s">
        <v>53</v>
      </c>
      <c r="B32" s="8">
        <v>5</v>
      </c>
      <c r="D32" s="82" t="s">
        <v>106</v>
      </c>
    </row>
    <row r="33" spans="1:27" customFormat="1" x14ac:dyDescent="0.2">
      <c r="A33" t="s">
        <v>40</v>
      </c>
      <c r="B33" s="8">
        <v>3</v>
      </c>
      <c r="D33" s="34" t="s">
        <v>107</v>
      </c>
    </row>
    <row r="34" spans="1:27" customFormat="1" x14ac:dyDescent="0.2">
      <c r="A34" t="s">
        <v>41</v>
      </c>
      <c r="B34" s="8">
        <v>15</v>
      </c>
      <c r="D34" s="34" t="s">
        <v>155</v>
      </c>
    </row>
    <row r="35" spans="1:27" x14ac:dyDescent="0.2">
      <c r="A35" t="s">
        <v>42</v>
      </c>
      <c r="B35" s="8">
        <v>5</v>
      </c>
      <c r="D35" s="34" t="s">
        <v>108</v>
      </c>
    </row>
    <row r="36" spans="1:27" customFormat="1" x14ac:dyDescent="0.2">
      <c r="A36" s="13" t="s">
        <v>43</v>
      </c>
      <c r="B36" s="8">
        <v>25</v>
      </c>
      <c r="D36" s="34" t="s">
        <v>109</v>
      </c>
    </row>
    <row r="37" spans="1:27" customFormat="1" x14ac:dyDescent="0.2">
      <c r="A37" t="s">
        <v>54</v>
      </c>
      <c r="B37" s="12">
        <v>0.1</v>
      </c>
    </row>
    <row r="38" spans="1:27" x14ac:dyDescent="0.2">
      <c r="D38" s="64" t="s">
        <v>110</v>
      </c>
    </row>
    <row r="39" spans="1:27" customFormat="1" x14ac:dyDescent="0.2">
      <c r="A39" s="5" t="s">
        <v>55</v>
      </c>
    </row>
    <row r="40" spans="1:27" customFormat="1" x14ac:dyDescent="0.2">
      <c r="A40" t="s">
        <v>56</v>
      </c>
      <c r="B40" s="9">
        <v>10000</v>
      </c>
      <c r="D40" s="5" t="s">
        <v>111</v>
      </c>
      <c r="E40" s="36">
        <f>$B$22</f>
        <v>0.01</v>
      </c>
      <c r="F40" t="s">
        <v>92</v>
      </c>
    </row>
    <row r="41" spans="1:27" customFormat="1" x14ac:dyDescent="0.2">
      <c r="A41" t="s">
        <v>57</v>
      </c>
      <c r="B41" s="9">
        <v>3000</v>
      </c>
      <c r="D41" s="51" t="s">
        <v>112</v>
      </c>
      <c r="E41" s="70">
        <f>$H$30</f>
        <v>1.2675000000000001</v>
      </c>
      <c r="F41" s="52" t="s">
        <v>92</v>
      </c>
      <c r="G41" s="83" t="s">
        <v>113</v>
      </c>
      <c r="H41" s="45" t="s">
        <v>74</v>
      </c>
    </row>
    <row r="42" spans="1:27" customFormat="1" x14ac:dyDescent="0.2">
      <c r="A42" t="s">
        <v>44</v>
      </c>
      <c r="B42" s="33">
        <v>0.5</v>
      </c>
    </row>
    <row r="43" spans="1:27" x14ac:dyDescent="0.2">
      <c r="A43" t="s">
        <v>45</v>
      </c>
      <c r="B43" s="36">
        <f>(B40/1000000)*B33+(B41/1000000)*B34</f>
        <v>7.4999999999999997E-2</v>
      </c>
      <c r="D43" s="84" t="s">
        <v>114</v>
      </c>
      <c r="E43" s="85" t="s">
        <v>115</v>
      </c>
      <c r="F43" s="85" t="s">
        <v>116</v>
      </c>
      <c r="G43" s="69" t="s">
        <v>72</v>
      </c>
      <c r="H43" s="86" t="s">
        <v>73</v>
      </c>
    </row>
    <row r="44" spans="1:27" customFormat="1" x14ac:dyDescent="0.2">
      <c r="A44" t="s">
        <v>46</v>
      </c>
      <c r="B44" s="10">
        <f>(B40/1000000)*B35+(B41/1000000)*B36</f>
        <v>0.125</v>
      </c>
      <c r="D44" s="6" t="s">
        <v>64</v>
      </c>
      <c r="E44" s="42">
        <v>500</v>
      </c>
      <c r="F44" s="87">
        <v>15</v>
      </c>
      <c r="G44" s="30">
        <f>E44*$E$40</f>
        <v>5</v>
      </c>
      <c r="H44" s="32">
        <f>F44*$E$41</f>
        <v>19.012500000000003</v>
      </c>
    </row>
    <row r="45" spans="1:27" x14ac:dyDescent="0.2">
      <c r="A45" t="s">
        <v>47</v>
      </c>
      <c r="B45" s="37">
        <f>B43*(1-B37)+B44*B37</f>
        <v>0.08</v>
      </c>
      <c r="D45" s="6" t="s">
        <v>65</v>
      </c>
      <c r="E45" s="42">
        <v>3000</v>
      </c>
      <c r="F45" s="87">
        <v>50</v>
      </c>
      <c r="G45" s="30">
        <f>E45*$E$40</f>
        <v>30</v>
      </c>
      <c r="H45" s="32">
        <f>F45*$E$41</f>
        <v>63.375</v>
      </c>
    </row>
    <row r="46" spans="1:27" x14ac:dyDescent="0.2">
      <c r="A46" s="5" t="s">
        <v>58</v>
      </c>
      <c r="B46" s="37">
        <f>B45*B42</f>
        <v>0.04</v>
      </c>
      <c r="D46" s="6" t="s">
        <v>66</v>
      </c>
      <c r="E46" s="29">
        <v>10000</v>
      </c>
      <c r="F46" s="49">
        <v>150</v>
      </c>
      <c r="G46" s="30">
        <f>E46*$E$40</f>
        <v>100</v>
      </c>
      <c r="H46" s="30">
        <f>F46*$E$41</f>
        <v>190.125</v>
      </c>
    </row>
    <row r="47" spans="1:27" x14ac:dyDescent="0.2">
      <c r="D47" s="5"/>
    </row>
    <row r="48" spans="1:27" ht="19" x14ac:dyDescent="0.25">
      <c r="A48" s="39" t="s">
        <v>20</v>
      </c>
      <c r="D48" s="82" t="s">
        <v>75</v>
      </c>
      <c r="E48" s="18" t="s">
        <v>117</v>
      </c>
      <c r="F48" s="18" t="s">
        <v>118</v>
      </c>
      <c r="G48" s="18" t="s">
        <v>119</v>
      </c>
      <c r="H48" s="18" t="s">
        <v>74</v>
      </c>
    </row>
    <row r="49" spans="1:27" x14ac:dyDescent="0.2">
      <c r="A49" t="s">
        <v>21</v>
      </c>
      <c r="B49" s="12">
        <v>0.6</v>
      </c>
      <c r="D49" s="53" t="s">
        <v>64</v>
      </c>
      <c r="E49" s="54">
        <f>G44+H44</f>
        <v>24.012500000000003</v>
      </c>
      <c r="F49" s="54">
        <f>E49*$B$5</f>
        <v>32.416875000000005</v>
      </c>
      <c r="G49" s="54">
        <f>$B$8</f>
        <v>149</v>
      </c>
      <c r="H49" s="46">
        <f>(G49-F49)/G49</f>
        <v>0.78243708053691274</v>
      </c>
    </row>
    <row r="50" spans="1:27" x14ac:dyDescent="0.2">
      <c r="A50" t="s">
        <v>22</v>
      </c>
      <c r="B50" s="12">
        <v>0.05</v>
      </c>
      <c r="D50" s="6" t="s">
        <v>65</v>
      </c>
      <c r="E50" s="30">
        <f>G45+H45</f>
        <v>93.375</v>
      </c>
      <c r="F50" s="30">
        <f>E50*$B$5</f>
        <v>126.05625000000001</v>
      </c>
      <c r="G50" s="30">
        <f>$B$9</f>
        <v>499</v>
      </c>
      <c r="H50" s="43">
        <f>(G50-F50)/G50</f>
        <v>0.7473822645290582</v>
      </c>
    </row>
    <row r="51" spans="1:27" x14ac:dyDescent="0.2">
      <c r="A51" s="15" t="s">
        <v>59</v>
      </c>
      <c r="B51" s="40">
        <v>50</v>
      </c>
      <c r="D51" s="6" t="s">
        <v>66</v>
      </c>
      <c r="E51" s="30">
        <f>G46+H46</f>
        <v>290.125</v>
      </c>
      <c r="F51" s="30">
        <f>E51*$B$5</f>
        <v>391.66875000000005</v>
      </c>
      <c r="G51" s="30">
        <f>$B$10</f>
        <v>1500</v>
      </c>
      <c r="H51" s="43">
        <f>(G51-F51)/G51</f>
        <v>0.73888749999999992</v>
      </c>
    </row>
    <row r="52" spans="1:27" x14ac:dyDescent="0.2">
      <c r="A52" s="17"/>
      <c r="B52" s="18">
        <v>1</v>
      </c>
    </row>
    <row r="53" spans="1:27" x14ac:dyDescent="0.2">
      <c r="A53" s="5" t="s">
        <v>23</v>
      </c>
      <c r="B53" s="19">
        <f>$E$5</f>
        <v>1.2675000000000001</v>
      </c>
      <c r="D53" s="35" t="s">
        <v>154</v>
      </c>
    </row>
    <row r="54" spans="1:27" x14ac:dyDescent="0.2">
      <c r="A54" t="s">
        <v>60</v>
      </c>
      <c r="B54" s="12">
        <v>0.3</v>
      </c>
    </row>
    <row r="55" spans="1:27" x14ac:dyDescent="0.2">
      <c r="A55" t="s">
        <v>24</v>
      </c>
      <c r="B55" s="12">
        <v>0.5</v>
      </c>
      <c r="D55" s="5"/>
    </row>
    <row r="56" spans="1:27" ht="19" x14ac:dyDescent="0.25">
      <c r="A56" t="s">
        <v>25</v>
      </c>
      <c r="B56" s="12">
        <v>0.15</v>
      </c>
      <c r="D56" s="55" t="s">
        <v>120</v>
      </c>
      <c r="E56" s="16"/>
      <c r="F56" s="16"/>
      <c r="G56" s="16"/>
      <c r="H56" s="16"/>
    </row>
    <row r="57" spans="1:27" x14ac:dyDescent="0.2">
      <c r="A57" t="s">
        <v>26</v>
      </c>
      <c r="B57" s="12">
        <v>0.05</v>
      </c>
      <c r="D57" s="13" t="s">
        <v>121</v>
      </c>
    </row>
    <row r="58" spans="1:27" x14ac:dyDescent="0.2">
      <c r="B58" s="19">
        <f>B55-B56-B57</f>
        <v>0.3</v>
      </c>
    </row>
    <row r="59" spans="1:27" x14ac:dyDescent="0.2">
      <c r="A59" s="4" t="s">
        <v>27</v>
      </c>
      <c r="B59" s="41">
        <v>5</v>
      </c>
      <c r="D59" s="22" t="s">
        <v>61</v>
      </c>
      <c r="E59" s="45" t="s">
        <v>62</v>
      </c>
      <c r="F59" s="45" t="s">
        <v>70</v>
      </c>
      <c r="G59" s="45" t="s">
        <v>71</v>
      </c>
      <c r="H59" s="45" t="s">
        <v>74</v>
      </c>
    </row>
    <row r="60" spans="1:27" x14ac:dyDescent="0.2">
      <c r="A60" s="4" t="s">
        <v>36</v>
      </c>
      <c r="B60" s="20">
        <f>(B56*$B$28+B57*$B$29)*$B$32*$B$5+$B$37</f>
        <v>19.843750000000004</v>
      </c>
      <c r="D60" s="4" t="s">
        <v>64</v>
      </c>
      <c r="E60" s="56">
        <v>149</v>
      </c>
      <c r="F60" s="50">
        <v>500</v>
      </c>
      <c r="G60" s="88">
        <v>15</v>
      </c>
      <c r="H60" s="58">
        <f>H49</f>
        <v>0.78243708053691274</v>
      </c>
    </row>
    <row r="61" spans="1:27" x14ac:dyDescent="0.2">
      <c r="A61" s="4" t="s">
        <v>37</v>
      </c>
      <c r="B61" s="20">
        <f>B59-B60</f>
        <v>-14.843750000000004</v>
      </c>
      <c r="D61" s="4" t="s">
        <v>65</v>
      </c>
      <c r="E61" s="56">
        <v>499</v>
      </c>
      <c r="F61" s="50">
        <v>3000</v>
      </c>
      <c r="G61" s="88">
        <v>50</v>
      </c>
      <c r="H61" s="58">
        <f>H50</f>
        <v>0.7473822645290582</v>
      </c>
    </row>
    <row r="62" spans="1:27" x14ac:dyDescent="0.2">
      <c r="D62" s="4" t="s">
        <v>66</v>
      </c>
      <c r="E62" s="56">
        <v>1500</v>
      </c>
      <c r="F62" s="50">
        <v>10000</v>
      </c>
      <c r="G62" s="88">
        <v>150</v>
      </c>
      <c r="H62" s="58">
        <f>H51</f>
        <v>0.73888749999999992</v>
      </c>
    </row>
    <row r="63" spans="1:27" x14ac:dyDescent="0.2">
      <c r="D63" s="4" t="s">
        <v>67</v>
      </c>
      <c r="E63" s="44" t="s">
        <v>122</v>
      </c>
      <c r="F63" s="44" t="s">
        <v>68</v>
      </c>
      <c r="G63" s="44" t="s">
        <v>68</v>
      </c>
      <c r="H63" s="57" t="s">
        <v>76</v>
      </c>
    </row>
    <row r="64" spans="1:27" x14ac:dyDescent="0.2">
      <c r="A64" s="23" t="s">
        <v>38</v>
      </c>
      <c r="B64" s="24"/>
    </row>
    <row r="65" spans="1:27" x14ac:dyDescent="0.2">
      <c r="A65" s="17" t="s">
        <v>28</v>
      </c>
      <c r="B65" s="18">
        <v>1</v>
      </c>
      <c r="D65" s="4" t="s">
        <v>123</v>
      </c>
    </row>
    <row r="66" spans="1:27" x14ac:dyDescent="0.2">
      <c r="A66" t="s">
        <v>29</v>
      </c>
      <c r="B66" s="19">
        <f>$E$6</f>
        <v>0</v>
      </c>
      <c r="D66" s="4" t="s">
        <v>64</v>
      </c>
      <c r="E66" t="s">
        <v>126</v>
      </c>
      <c r="F66" t="s">
        <v>124</v>
      </c>
      <c r="G66" t="s">
        <v>125</v>
      </c>
      <c r="H66" t="s">
        <v>127</v>
      </c>
    </row>
    <row r="67" spans="1:27" x14ac:dyDescent="0.2">
      <c r="A67" t="s">
        <v>30</v>
      </c>
      <c r="B67" s="19">
        <v>0</v>
      </c>
      <c r="D67" s="4" t="s">
        <v>65</v>
      </c>
      <c r="E67" t="s">
        <v>128</v>
      </c>
      <c r="F67" t="s">
        <v>124</v>
      </c>
      <c r="G67" t="s">
        <v>129</v>
      </c>
      <c r="H67" t="s">
        <v>130</v>
      </c>
    </row>
    <row r="68" spans="1:27" x14ac:dyDescent="0.2">
      <c r="A68" t="s">
        <v>31</v>
      </c>
      <c r="B68" s="19">
        <f>$B$44</f>
        <v>0.125</v>
      </c>
      <c r="D68" s="4" t="s">
        <v>66</v>
      </c>
      <c r="E68" t="s">
        <v>131</v>
      </c>
      <c r="F68" t="s">
        <v>124</v>
      </c>
      <c r="G68" t="s">
        <v>132</v>
      </c>
      <c r="H68" t="s">
        <v>130</v>
      </c>
    </row>
    <row r="69" spans="1:27" x14ac:dyDescent="0.2">
      <c r="A69" t="s">
        <v>32</v>
      </c>
      <c r="B69" s="19">
        <f>ROUND(B68*$B$40,0)</f>
        <v>1250</v>
      </c>
    </row>
    <row r="70" spans="1:27" x14ac:dyDescent="0.2">
      <c r="A70" t="s">
        <v>33</v>
      </c>
      <c r="B70" s="19">
        <f>ROUND(B68*$B$41,0)</f>
        <v>375</v>
      </c>
      <c r="D70" s="59" t="s">
        <v>133</v>
      </c>
      <c r="E70" s="60"/>
      <c r="F70" s="60"/>
      <c r="G70" s="60"/>
      <c r="H70" s="60"/>
    </row>
    <row r="71" spans="1:27" x14ac:dyDescent="0.2">
      <c r="A71" t="s">
        <v>34</v>
      </c>
      <c r="B71" s="19">
        <f>B68-B69-B70</f>
        <v>-1624.875</v>
      </c>
      <c r="D71" s="60" t="s">
        <v>134</v>
      </c>
      <c r="E71" s="60"/>
      <c r="F71" s="60"/>
      <c r="G71" s="60"/>
      <c r="H71" s="60"/>
    </row>
    <row r="72" spans="1:27" x14ac:dyDescent="0.2">
      <c r="A72" s="4" t="s">
        <v>35</v>
      </c>
      <c r="B72" s="20">
        <f>B69*$B$9+B70*$B$10+B71*$B$11</f>
        <v>-6938125</v>
      </c>
      <c r="D72" s="59" t="s">
        <v>135</v>
      </c>
      <c r="E72" s="59"/>
      <c r="F72" s="60"/>
      <c r="G72" s="60"/>
      <c r="H72" s="60"/>
    </row>
    <row r="73" spans="1:27" x14ac:dyDescent="0.2">
      <c r="A73" s="4" t="s">
        <v>36</v>
      </c>
      <c r="B73" s="20">
        <f>(B69*$B$28+B70*$B$29)*$B$32*$B$5+$B$37</f>
        <v>153562.6</v>
      </c>
    </row>
    <row r="74" spans="1:27" ht="19" x14ac:dyDescent="0.25">
      <c r="A74" s="4" t="s">
        <v>37</v>
      </c>
      <c r="B74" s="20">
        <f>B72-B73</f>
        <v>-7091687.5999999996</v>
      </c>
      <c r="D74" s="14"/>
    </row>
    <row r="75" spans="1:27" ht="19" x14ac:dyDescent="0.25">
      <c r="D75" s="39" t="s">
        <v>78</v>
      </c>
    </row>
    <row r="76" spans="1:27" x14ac:dyDescent="0.2">
      <c r="D76" s="13" t="s">
        <v>145</v>
      </c>
    </row>
    <row r="77" spans="1:27" x14ac:dyDescent="0.2">
      <c r="A77" s="26" t="s">
        <v>39</v>
      </c>
      <c r="B77" s="27"/>
      <c r="D77" s="17"/>
      <c r="E77" s="18" t="s">
        <v>80</v>
      </c>
    </row>
    <row r="78" spans="1:27" x14ac:dyDescent="0.2">
      <c r="A78" s="17" t="s">
        <v>28</v>
      </c>
      <c r="B78" s="18">
        <v>1</v>
      </c>
      <c r="D78" s="17" t="s">
        <v>79</v>
      </c>
      <c r="E78" s="90"/>
    </row>
    <row r="79" spans="1:27" x14ac:dyDescent="0.2">
      <c r="A79" t="s">
        <v>29</v>
      </c>
      <c r="B79" s="19" t="str">
        <f>$E$7</f>
        <v>Price</v>
      </c>
      <c r="D79" t="s">
        <v>81</v>
      </c>
      <c r="E79" s="49">
        <v>5</v>
      </c>
    </row>
    <row r="80" spans="1:27" x14ac:dyDescent="0.2">
      <c r="A80" t="s">
        <v>30</v>
      </c>
      <c r="B80" s="19">
        <v>0</v>
      </c>
      <c r="D80" t="s">
        <v>82</v>
      </c>
      <c r="E80" s="61">
        <v>4</v>
      </c>
    </row>
    <row r="81" spans="1:27" x14ac:dyDescent="0.2">
      <c r="A81" t="s">
        <v>31</v>
      </c>
      <c r="B81" s="19">
        <f>$B$44</f>
        <v>0.125</v>
      </c>
      <c r="D81" t="s">
        <v>83</v>
      </c>
      <c r="E81" s="61">
        <v>0.05</v>
      </c>
    </row>
    <row r="82" spans="1:27" x14ac:dyDescent="0.2">
      <c r="A82" t="s">
        <v>32</v>
      </c>
      <c r="B82" s="19">
        <f>ROUND(B81*$B$40,0)</f>
        <v>1250</v>
      </c>
      <c r="D82" t="s">
        <v>84</v>
      </c>
      <c r="E82" s="61">
        <v>0.6</v>
      </c>
    </row>
    <row r="83" spans="1:27" x14ac:dyDescent="0.2">
      <c r="A83" t="s">
        <v>33</v>
      </c>
      <c r="B83" s="19">
        <f>ROUND(B81*$B$41,0)</f>
        <v>375</v>
      </c>
      <c r="D83" t="s">
        <v>69</v>
      </c>
      <c r="E83" s="30">
        <f>$B$8*0.3+$B$9*0.5+$B$10*0.15+$B$11*0.05</f>
        <v>769.2</v>
      </c>
      <c r="F83" s="35" t="s">
        <v>146</v>
      </c>
    </row>
    <row r="84" spans="1:27" x14ac:dyDescent="0.2">
      <c r="A84" t="s">
        <v>34</v>
      </c>
      <c r="B84" s="19">
        <f>B81-B82-B83</f>
        <v>-1624.875</v>
      </c>
      <c r="D84" s="17"/>
      <c r="E84" s="28"/>
      <c r="F84" s="28"/>
      <c r="G84" s="28"/>
      <c r="H84" s="28"/>
    </row>
    <row r="85" spans="1:27" x14ac:dyDescent="0.2">
      <c r="A85" s="4" t="s">
        <v>35</v>
      </c>
      <c r="B85" s="20">
        <f>B82*$B$9+B83*$B$10+B84*$B$11</f>
        <v>-6938125</v>
      </c>
      <c r="D85" s="17"/>
      <c r="E85" s="18" t="s">
        <v>147</v>
      </c>
      <c r="F85" s="91" t="s">
        <v>148</v>
      </c>
      <c r="G85" s="18" t="s">
        <v>149</v>
      </c>
    </row>
    <row r="86" spans="1:27" x14ac:dyDescent="0.2">
      <c r="A86" s="4" t="s">
        <v>36</v>
      </c>
      <c r="B86" s="20">
        <f>(B82*$B$28+B83*$B$29)*$B$32*$B$5+$B$37</f>
        <v>153562.6</v>
      </c>
      <c r="D86" t="s">
        <v>31</v>
      </c>
      <c r="E86" s="32">
        <v>21</v>
      </c>
      <c r="F86" s="92">
        <v>37</v>
      </c>
      <c r="G86" s="29">
        <v>56</v>
      </c>
    </row>
    <row r="87" spans="1:27" x14ac:dyDescent="0.2">
      <c r="A87" s="4" t="s">
        <v>37</v>
      </c>
      <c r="B87" s="20">
        <f>B85-B86</f>
        <v>-7091687.5999999996</v>
      </c>
      <c r="D87" t="s">
        <v>35</v>
      </c>
      <c r="E87" s="30">
        <f>E86*$E$83</f>
        <v>16153.2</v>
      </c>
      <c r="F87" s="93">
        <f>F86*$E$83</f>
        <v>28460.400000000001</v>
      </c>
      <c r="G87" s="30">
        <f>G86*$E$83</f>
        <v>43075.200000000004</v>
      </c>
    </row>
    <row r="88" spans="1:27" x14ac:dyDescent="0.2">
      <c r="D88" t="s">
        <v>150</v>
      </c>
      <c r="E88" s="62">
        <f>E87*0.3</f>
        <v>4845.96</v>
      </c>
      <c r="F88" s="94">
        <f>F87*0.3</f>
        <v>8538.1200000000008</v>
      </c>
      <c r="G88" s="95">
        <f>G87*0.3</f>
        <v>12922.560000000001</v>
      </c>
      <c r="H88" s="63"/>
    </row>
    <row r="89" spans="1:27" x14ac:dyDescent="0.2">
      <c r="D89" t="s">
        <v>85</v>
      </c>
      <c r="E89" s="62">
        <f>E87-E88</f>
        <v>11307.240000000002</v>
      </c>
      <c r="F89" s="62">
        <f>F87-F88</f>
        <v>19922.28</v>
      </c>
      <c r="G89" s="62">
        <f>G87-G88</f>
        <v>30152.640000000003</v>
      </c>
      <c r="H89" s="63"/>
    </row>
    <row r="90" spans="1:27" x14ac:dyDescent="0.2">
      <c r="D90" t="s">
        <v>63</v>
      </c>
      <c r="E90" s="96">
        <f>E89/E87</f>
        <v>0.70000000000000007</v>
      </c>
      <c r="F90" s="97">
        <f>F89/F87</f>
        <v>0.7</v>
      </c>
      <c r="G90" s="96">
        <f>G89/G87</f>
        <v>0.7</v>
      </c>
    </row>
    <row r="92" spans="1:27" x14ac:dyDescent="0.2">
      <c r="D92" s="4" t="s">
        <v>151</v>
      </c>
      <c r="E92" s="30">
        <f>E87*12</f>
        <v>193838.40000000002</v>
      </c>
      <c r="F92" s="98">
        <f>F87*12</f>
        <v>341524.80000000005</v>
      </c>
      <c r="G92" s="30">
        <f>G87*12</f>
        <v>516902.40000000002</v>
      </c>
    </row>
    <row r="94" spans="1:27" x14ac:dyDescent="0.2">
      <c r="D94" s="4" t="s">
        <v>152</v>
      </c>
      <c r="E94" s="13" t="s">
        <v>153</v>
      </c>
    </row>
    <row r="96" spans="1:27" ht="19" x14ac:dyDescent="0.25">
      <c r="D96" s="47" t="s">
        <v>156</v>
      </c>
      <c r="E96" s="27">
        <v>0.05</v>
      </c>
      <c r="F96" s="27">
        <v>0.05</v>
      </c>
      <c r="G96" s="27">
        <v>0.05</v>
      </c>
      <c r="H96" s="27">
        <v>0.05</v>
      </c>
      <c r="I96">
        <v>0.05</v>
      </c>
      <c r="J96">
        <v>0.05</v>
      </c>
      <c r="K96">
        <v>0.05</v>
      </c>
      <c r="L96">
        <v>0.05</v>
      </c>
      <c r="M96">
        <v>0.05</v>
      </c>
      <c r="N96">
        <v>0.05</v>
      </c>
      <c r="O96">
        <v>0.05</v>
      </c>
      <c r="P96">
        <v>0.05</v>
      </c>
      <c r="Q96">
        <v>0.05</v>
      </c>
      <c r="R96">
        <v>0.05</v>
      </c>
      <c r="S96">
        <v>0.05</v>
      </c>
      <c r="T96">
        <v>0.05</v>
      </c>
      <c r="U96">
        <v>0.05</v>
      </c>
      <c r="V96">
        <v>0.05</v>
      </c>
      <c r="W96">
        <v>0.05</v>
      </c>
      <c r="X96">
        <v>0.05</v>
      </c>
      <c r="Y96">
        <v>0.05</v>
      </c>
      <c r="Z96">
        <v>0.05</v>
      </c>
      <c r="AA96">
        <v>0.05</v>
      </c>
    </row>
    <row r="97" spans="4:8" x14ac:dyDescent="0.2">
      <c r="D97" s="13" t="s">
        <v>157</v>
      </c>
      <c r="E97">
        <v>0.05</v>
      </c>
      <c r="F97">
        <v>0.05</v>
      </c>
      <c r="G97">
        <v>0.05</v>
      </c>
      <c r="H97">
        <v>0.05</v>
      </c>
    </row>
    <row r="99" spans="4:8" x14ac:dyDescent="0.2">
      <c r="D99" s="17" t="s">
        <v>158</v>
      </c>
      <c r="E99">
        <v>0.05</v>
      </c>
      <c r="F99">
        <v>0.05</v>
      </c>
      <c r="G99">
        <v>0.05</v>
      </c>
      <c r="H99">
        <v>0.05</v>
      </c>
    </row>
    <row r="100" spans="4:8" x14ac:dyDescent="0.2">
      <c r="D100" t="s">
        <v>159</v>
      </c>
      <c r="E100" s="11">
        <f>$B$35</f>
        <v>5</v>
      </c>
      <c r="F100" t="s">
        <v>160</v>
      </c>
      <c r="G100">
        <v>0.05</v>
      </c>
      <c r="H100">
        <v>0.05</v>
      </c>
    </row>
    <row r="101" spans="4:8" x14ac:dyDescent="0.2">
      <c r="D101" t="s">
        <v>161</v>
      </c>
      <c r="E101" s="11">
        <f>$B$36</f>
        <v>25</v>
      </c>
      <c r="F101" t="s">
        <v>162</v>
      </c>
      <c r="G101">
        <v>0.05</v>
      </c>
      <c r="H101">
        <v>0.05</v>
      </c>
    </row>
    <row r="103" spans="4:8" x14ac:dyDescent="0.2">
      <c r="D103" s="17" t="s">
        <v>163</v>
      </c>
      <c r="E103" s="28"/>
      <c r="F103" s="28"/>
      <c r="G103" s="28">
        <v>0.05</v>
      </c>
      <c r="H103" s="28">
        <v>0.05</v>
      </c>
    </row>
    <row r="104" spans="4:8" x14ac:dyDescent="0.2">
      <c r="D104" t="s">
        <v>164</v>
      </c>
      <c r="E104" s="19">
        <v>414000</v>
      </c>
      <c r="F104">
        <v>0.05</v>
      </c>
      <c r="G104">
        <v>0.05</v>
      </c>
      <c r="H104">
        <v>0.05</v>
      </c>
    </row>
    <row r="105" spans="4:8" x14ac:dyDescent="0.2">
      <c r="D105" t="s">
        <v>165</v>
      </c>
      <c r="E105" s="19">
        <v>1700</v>
      </c>
      <c r="F105">
        <v>0.05</v>
      </c>
      <c r="G105">
        <v>0.05</v>
      </c>
      <c r="H105">
        <v>0.05</v>
      </c>
    </row>
    <row r="106" spans="4:8" x14ac:dyDescent="0.2">
      <c r="D106" t="s">
        <v>166</v>
      </c>
      <c r="E106" s="99">
        <f>(E104/1000000)*$B$35+(E105/1000000)*$B$36</f>
        <v>2.1124999999999998</v>
      </c>
      <c r="F106" t="s">
        <v>92</v>
      </c>
      <c r="G106" s="35" t="s">
        <v>167</v>
      </c>
      <c r="H106">
        <v>0.05</v>
      </c>
    </row>
    <row r="108" spans="4:8" x14ac:dyDescent="0.2">
      <c r="D108" s="101" t="s">
        <v>168</v>
      </c>
      <c r="E108" s="102" t="s">
        <v>115</v>
      </c>
      <c r="F108" s="102" t="s">
        <v>116</v>
      </c>
      <c r="G108" s="102" t="s">
        <v>117</v>
      </c>
      <c r="H108" s="102" t="s">
        <v>118</v>
      </c>
    </row>
    <row r="109" spans="4:8" x14ac:dyDescent="0.2">
      <c r="D109" t="s">
        <v>64</v>
      </c>
      <c r="E109" s="29">
        <v>500</v>
      </c>
      <c r="F109" s="29">
        <v>15</v>
      </c>
      <c r="G109" s="30">
        <f>E109*$E$40+F109*$E$106</f>
        <v>36.6875</v>
      </c>
      <c r="H109" s="30">
        <f>G109*$B$5</f>
        <v>49.528125000000003</v>
      </c>
    </row>
    <row r="110" spans="4:8" x14ac:dyDescent="0.2">
      <c r="D110" t="s">
        <v>65</v>
      </c>
      <c r="E110" s="29">
        <v>3000</v>
      </c>
      <c r="F110" s="29">
        <v>50</v>
      </c>
      <c r="G110" s="30">
        <f>E110*$E$40+F110*$E$106</f>
        <v>135.625</v>
      </c>
      <c r="H110" s="30">
        <f>G110*$B$5</f>
        <v>183.09375</v>
      </c>
    </row>
    <row r="111" spans="4:8" x14ac:dyDescent="0.2">
      <c r="D111" t="s">
        <v>66</v>
      </c>
      <c r="E111" s="29">
        <v>10000</v>
      </c>
      <c r="F111" s="29">
        <v>150</v>
      </c>
      <c r="G111" s="30">
        <f>E111*$E$40+F111*$E$106</f>
        <v>416.875</v>
      </c>
      <c r="H111" s="30">
        <f>G111*$B$5</f>
        <v>562.78125</v>
      </c>
    </row>
    <row r="113" spans="4:8" x14ac:dyDescent="0.2">
      <c r="D113" s="101" t="s">
        <v>169</v>
      </c>
      <c r="E113" s="102" t="s">
        <v>119</v>
      </c>
      <c r="F113" s="102" t="s">
        <v>118</v>
      </c>
      <c r="G113" s="102" t="s">
        <v>170</v>
      </c>
      <c r="H113" s="102" t="s">
        <v>74</v>
      </c>
    </row>
    <row r="114" spans="4:8" x14ac:dyDescent="0.2">
      <c r="D114" t="s">
        <v>64</v>
      </c>
      <c r="E114" s="30">
        <f>$B$8</f>
        <v>149</v>
      </c>
      <c r="F114" s="30">
        <f>H109</f>
        <v>49.528125000000003</v>
      </c>
      <c r="G114" s="30">
        <f>E114-F114</f>
        <v>99.471874999999997</v>
      </c>
      <c r="H114" s="43">
        <f>G114/E114</f>
        <v>0.66759647651006715</v>
      </c>
    </row>
    <row r="115" spans="4:8" x14ac:dyDescent="0.2">
      <c r="D115" t="s">
        <v>65</v>
      </c>
      <c r="E115" s="30">
        <f>$B$9</f>
        <v>499</v>
      </c>
      <c r="F115" s="30">
        <f>H110</f>
        <v>183.09375</v>
      </c>
      <c r="G115" s="30">
        <f>E115-F115</f>
        <v>315.90625</v>
      </c>
      <c r="H115" s="43">
        <f>G115/E115</f>
        <v>0.63307865731462931</v>
      </c>
    </row>
    <row r="116" spans="4:8" x14ac:dyDescent="0.2">
      <c r="D116" t="s">
        <v>66</v>
      </c>
      <c r="E116" s="30">
        <f>$B$10</f>
        <v>1500</v>
      </c>
      <c r="F116" s="30">
        <f>H111</f>
        <v>562.78125</v>
      </c>
      <c r="G116" s="30">
        <f>E116-F116</f>
        <v>937.21875</v>
      </c>
      <c r="H116" s="43">
        <f>G116/E116</f>
        <v>0.62481249999999999</v>
      </c>
    </row>
    <row r="118" spans="4:8" x14ac:dyDescent="0.2">
      <c r="D118" s="59" t="s">
        <v>171</v>
      </c>
      <c r="E118" s="60"/>
      <c r="F118" s="60"/>
      <c r="G118" s="60"/>
      <c r="H118" s="60"/>
    </row>
    <row r="119" spans="4:8" x14ac:dyDescent="0.2">
      <c r="D119" s="60">
        <v>0.05</v>
      </c>
      <c r="E119" s="103" t="s">
        <v>172</v>
      </c>
      <c r="F119" s="103" t="s">
        <v>173</v>
      </c>
      <c r="G119" s="103" t="s">
        <v>174</v>
      </c>
      <c r="H119" s="60"/>
    </row>
    <row r="120" spans="4:8" x14ac:dyDescent="0.2">
      <c r="D120" s="60" t="s">
        <v>175</v>
      </c>
      <c r="E120" s="104">
        <f>$H$30</f>
        <v>1.2675000000000001</v>
      </c>
      <c r="F120" s="104">
        <f>$E$106</f>
        <v>2.1124999999999998</v>
      </c>
      <c r="G120" s="105">
        <f>F120/E120</f>
        <v>1.6666666666666665</v>
      </c>
      <c r="H120" s="60" t="s">
        <v>176</v>
      </c>
    </row>
    <row r="121" spans="4:8" x14ac:dyDescent="0.2">
      <c r="D121" s="60" t="s">
        <v>177</v>
      </c>
      <c r="E121" s="106">
        <f>H49</f>
        <v>0.78243708053691274</v>
      </c>
      <c r="F121" s="106">
        <f>H114</f>
        <v>0.66759647651006715</v>
      </c>
      <c r="G121" s="107">
        <f>E121-F121</f>
        <v>0.11484060402684559</v>
      </c>
      <c r="H121" s="60"/>
    </row>
    <row r="122" spans="4:8" x14ac:dyDescent="0.2">
      <c r="D122" s="60" t="s">
        <v>178</v>
      </c>
      <c r="E122" s="106">
        <f>H50</f>
        <v>0.7473822645290582</v>
      </c>
      <c r="F122" s="106">
        <f>H115</f>
        <v>0.63307865731462931</v>
      </c>
      <c r="G122" s="107">
        <f>E122-F122</f>
        <v>0.11430360721442889</v>
      </c>
      <c r="H122" s="60"/>
    </row>
    <row r="123" spans="4:8" x14ac:dyDescent="0.2">
      <c r="D123" s="60" t="s">
        <v>179</v>
      </c>
      <c r="E123" s="106">
        <f>H51</f>
        <v>0.73888749999999992</v>
      </c>
      <c r="F123" s="106">
        <f>H116</f>
        <v>0.62481249999999999</v>
      </c>
      <c r="G123" s="107">
        <f>E123-F123</f>
        <v>0.11407499999999993</v>
      </c>
      <c r="H123" s="60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 zheyi</dc:creator>
  <cp:lastModifiedBy>lim zheyi</cp:lastModifiedBy>
  <dcterms:created xsi:type="dcterms:W3CDTF">2026-01-27T04:51:25Z</dcterms:created>
  <dcterms:modified xsi:type="dcterms:W3CDTF">2026-01-29T07:52:01Z</dcterms:modified>
</cp:coreProperties>
</file>